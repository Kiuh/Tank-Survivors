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Tank-Survivors\Documentation\Balance\"/>
    </mc:Choice>
  </mc:AlternateContent>
  <xr:revisionPtr revIDLastSave="0" documentId="13_ncr:1_{A71AB263-DCD8-4530-9531-55EC04943F23}" xr6:coauthVersionLast="47" xr6:coauthVersionMax="47" xr10:uidLastSave="{00000000-0000-0000-0000-000000000000}"/>
  <bookViews>
    <workbookView xWindow="-108" yWindow="-108" windowWidth="30936" windowHeight="1881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J23" i="1" s="1"/>
  <c r="J24" i="1" s="1"/>
  <c r="J25" i="1" s="1"/>
  <c r="J26" i="1" s="1"/>
  <c r="J27" i="1" s="1"/>
  <c r="J28" i="1" s="1"/>
  <c r="J29" i="1" s="1"/>
  <c r="J30" i="1" s="1"/>
  <c r="I22" i="1"/>
  <c r="I23" i="1"/>
  <c r="I24" i="1" s="1"/>
  <c r="I25" i="1" s="1"/>
  <c r="I26" i="1" s="1"/>
  <c r="I27" i="1" s="1"/>
  <c r="I28" i="1" s="1"/>
  <c r="I29" i="1" s="1"/>
  <c r="I30" i="1" s="1"/>
  <c r="H22" i="1"/>
  <c r="H23" i="1" s="1"/>
  <c r="H24" i="1" s="1"/>
  <c r="H25" i="1" s="1"/>
  <c r="H26" i="1" s="1"/>
  <c r="H27" i="1" s="1"/>
  <c r="H28" i="1" s="1"/>
  <c r="H29" i="1" s="1"/>
  <c r="H30" i="1" s="1"/>
  <c r="G22" i="1"/>
  <c r="G23" i="1" s="1"/>
  <c r="G24" i="1" s="1"/>
  <c r="G25" i="1" s="1"/>
  <c r="G26" i="1" s="1"/>
  <c r="G27" i="1" s="1"/>
  <c r="G28" i="1" s="1"/>
  <c r="G29" i="1" s="1"/>
  <c r="G30" i="1" s="1"/>
  <c r="K18" i="1"/>
  <c r="G16" i="1"/>
  <c r="G9" i="1"/>
  <c r="G11" i="1"/>
  <c r="G12" i="1"/>
  <c r="G13" i="1"/>
  <c r="G14" i="1"/>
  <c r="G10" i="1"/>
  <c r="D4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G15" i="1"/>
</calcChain>
</file>

<file path=xl/sharedStrings.xml><?xml version="1.0" encoding="utf-8"?>
<sst xmlns="http://schemas.openxmlformats.org/spreadsheetml/2006/main" count="31" uniqueCount="31">
  <si>
    <t>Множитель</t>
  </si>
  <si>
    <t>Кол-во большого опыта</t>
  </si>
  <si>
    <t>Кол-во маленького опыта</t>
  </si>
  <si>
    <t>Уровень</t>
  </si>
  <si>
    <t>Опыт для получения уровня</t>
  </si>
  <si>
    <t>Всего опыта получено</t>
  </si>
  <si>
    <t>Категория врага</t>
  </si>
  <si>
    <t>Время спавна</t>
  </si>
  <si>
    <t>Дрон</t>
  </si>
  <si>
    <t>Солдат</t>
  </si>
  <si>
    <t>Робот</t>
  </si>
  <si>
    <t>Элитный солдат</t>
  </si>
  <si>
    <t>Танк</t>
  </si>
  <si>
    <t>Трак</t>
  </si>
  <si>
    <t>Шанс большого</t>
  </si>
  <si>
    <t>Шанс маленького</t>
  </si>
  <si>
    <t>Опыт в минуту</t>
  </si>
  <si>
    <t>Опыт от дрона</t>
  </si>
  <si>
    <t>Опыт от солдата</t>
  </si>
  <si>
    <t>Опыт от робота</t>
  </si>
  <si>
    <t xml:space="preserve">Опыт от танка </t>
  </si>
  <si>
    <t>Опыт от трака</t>
  </si>
  <si>
    <t>Опыт от элитного солдата</t>
  </si>
  <si>
    <t>Сколько опыта за 15 минут</t>
  </si>
  <si>
    <t>Здоровье</t>
  </si>
  <si>
    <t>Скорость</t>
  </si>
  <si>
    <t>Урон</t>
  </si>
  <si>
    <t>скорость атаки</t>
  </si>
  <si>
    <t>минута\Статы:</t>
  </si>
  <si>
    <t>Время до улучшения</t>
  </si>
  <si>
    <t>На сколько процентов сильнее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</si>
</sst>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 applyBorder="1"/>
    <xf numFmtId="0" fontId="0" fillId="0" borderId="0" xfId="0" applyBorder="1"/>
    <xf numFmtId="2" fontId="0" fillId="0" borderId="0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Fill="1" applyBorder="1"/>
    <xf numFmtId="0" fontId="0" fillId="0" borderId="8" xfId="0" applyBorder="1"/>
    <xf numFmtId="9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3"/>
  <sheetViews>
    <sheetView tabSelected="1" zoomScale="115" zoomScaleNormal="115" workbookViewId="0">
      <selection activeCell="H24" sqref="H24"/>
    </sheetView>
  </sheetViews>
  <sheetFormatPr defaultRowHeight="14.4" x14ac:dyDescent="0.3"/>
  <cols>
    <col min="2" max="2" width="8.21875" bestFit="1" customWidth="1"/>
    <col min="3" max="3" width="25.5546875" bestFit="1" customWidth="1"/>
    <col min="4" max="4" width="21.88671875" bestFit="1" customWidth="1"/>
    <col min="5" max="5" width="11" bestFit="1" customWidth="1"/>
    <col min="6" max="6" width="28" bestFit="1" customWidth="1"/>
    <col min="7" max="7" width="12.88671875" bestFit="1" customWidth="1"/>
    <col min="8" max="8" width="21.88671875" bestFit="1" customWidth="1"/>
    <col min="9" max="9" width="23.5546875" bestFit="1" customWidth="1"/>
    <col min="10" max="10" width="14.77734375" bestFit="1" customWidth="1"/>
    <col min="11" max="11" width="16.44140625" bestFit="1" customWidth="1"/>
  </cols>
  <sheetData>
    <row r="1" spans="2:11" ht="15" thickBot="1" x14ac:dyDescent="0.35"/>
    <row r="2" spans="2:11" x14ac:dyDescent="0.3">
      <c r="B2" s="1" t="s">
        <v>3</v>
      </c>
      <c r="C2" s="2" t="s">
        <v>4</v>
      </c>
      <c r="D2" s="2" t="s">
        <v>5</v>
      </c>
      <c r="E2" s="2" t="s">
        <v>0</v>
      </c>
      <c r="F2" s="9" t="s">
        <v>6</v>
      </c>
      <c r="G2" s="9" t="s">
        <v>7</v>
      </c>
      <c r="H2" s="9" t="s">
        <v>1</v>
      </c>
      <c r="I2" s="9" t="s">
        <v>2</v>
      </c>
      <c r="J2" s="9" t="s">
        <v>14</v>
      </c>
      <c r="K2" s="9" t="s">
        <v>15</v>
      </c>
    </row>
    <row r="3" spans="2:11" x14ac:dyDescent="0.3">
      <c r="B3">
        <v>0</v>
      </c>
      <c r="C3" s="4">
        <v>100</v>
      </c>
      <c r="D3" s="4">
        <v>0</v>
      </c>
      <c r="E3" s="6">
        <v>0.08</v>
      </c>
      <c r="F3" s="9" t="s">
        <v>8</v>
      </c>
      <c r="G3" s="9">
        <v>4</v>
      </c>
      <c r="H3" s="9">
        <v>20</v>
      </c>
      <c r="I3" s="9">
        <v>10</v>
      </c>
      <c r="J3" s="9">
        <v>0</v>
      </c>
      <c r="K3" s="9">
        <v>0.5</v>
      </c>
    </row>
    <row r="4" spans="2:11" x14ac:dyDescent="0.3">
      <c r="B4" s="3">
        <v>1</v>
      </c>
      <c r="C4" s="4">
        <f>C3+C3*$E$3</f>
        <v>108</v>
      </c>
      <c r="D4" s="4">
        <f>D3+C3</f>
        <v>100</v>
      </c>
      <c r="E4" s="4"/>
      <c r="F4" s="9" t="s">
        <v>9</v>
      </c>
      <c r="G4" s="9">
        <v>2</v>
      </c>
      <c r="H4" s="9"/>
      <c r="I4" s="9"/>
      <c r="J4" s="9">
        <v>0.2</v>
      </c>
      <c r="K4" s="9">
        <v>1</v>
      </c>
    </row>
    <row r="5" spans="2:11" x14ac:dyDescent="0.3">
      <c r="B5" s="3">
        <v>2</v>
      </c>
      <c r="C5" s="4">
        <f>C4+C4*$E$3</f>
        <v>116.64</v>
      </c>
      <c r="D5" s="4">
        <f>D4+C4</f>
        <v>208</v>
      </c>
      <c r="E5" s="5"/>
      <c r="F5" s="9" t="s">
        <v>10</v>
      </c>
      <c r="G5" s="9">
        <v>4</v>
      </c>
      <c r="H5" s="9"/>
      <c r="I5" s="9"/>
      <c r="J5" s="9">
        <v>1</v>
      </c>
      <c r="K5" s="9">
        <v>0.2</v>
      </c>
    </row>
    <row r="6" spans="2:11" x14ac:dyDescent="0.3">
      <c r="B6" s="3">
        <v>3</v>
      </c>
      <c r="C6" s="4">
        <f t="shared" ref="C6:C43" si="0">C5+C5*$E$3</f>
        <v>125.9712</v>
      </c>
      <c r="D6" s="4">
        <f t="shared" ref="D6:D43" si="1">D5+C5</f>
        <v>324.64</v>
      </c>
      <c r="E6" s="5"/>
      <c r="F6" s="9" t="s">
        <v>12</v>
      </c>
      <c r="G6" s="9">
        <v>1</v>
      </c>
      <c r="H6" s="9"/>
      <c r="I6" s="9"/>
      <c r="J6" s="9"/>
      <c r="K6" s="9"/>
    </row>
    <row r="7" spans="2:11" x14ac:dyDescent="0.3">
      <c r="B7" s="3">
        <v>4</v>
      </c>
      <c r="C7" s="4">
        <f t="shared" si="0"/>
        <v>136.04889599999998</v>
      </c>
      <c r="D7" s="4">
        <f t="shared" si="1"/>
        <v>450.6112</v>
      </c>
      <c r="E7" s="5"/>
      <c r="F7" s="9" t="s">
        <v>13</v>
      </c>
      <c r="G7" s="9">
        <v>1</v>
      </c>
      <c r="H7" s="9"/>
      <c r="I7" s="9"/>
      <c r="J7" s="9"/>
      <c r="K7" s="9"/>
    </row>
    <row r="8" spans="2:11" x14ac:dyDescent="0.3">
      <c r="B8" s="3">
        <v>5</v>
      </c>
      <c r="C8" s="4">
        <f t="shared" si="0"/>
        <v>146.93280768</v>
      </c>
      <c r="D8" s="4">
        <f t="shared" si="1"/>
        <v>586.66009599999995</v>
      </c>
      <c r="E8" s="5"/>
      <c r="F8" s="9" t="s">
        <v>11</v>
      </c>
      <c r="G8" s="9">
        <v>1</v>
      </c>
      <c r="H8" s="9"/>
      <c r="I8" s="9"/>
      <c r="J8" s="9"/>
      <c r="K8" s="9"/>
    </row>
    <row r="9" spans="2:11" x14ac:dyDescent="0.3">
      <c r="B9" s="3">
        <v>6</v>
      </c>
      <c r="C9" s="4">
        <f t="shared" si="0"/>
        <v>158.6874322944</v>
      </c>
      <c r="D9" s="4">
        <f t="shared" si="1"/>
        <v>733.59290367999995</v>
      </c>
      <c r="E9" s="5"/>
      <c r="F9" s="10" t="s">
        <v>17</v>
      </c>
      <c r="G9">
        <f>(60/G3)*(($H$3*K3)+($I$3*J3))</f>
        <v>150</v>
      </c>
    </row>
    <row r="10" spans="2:11" x14ac:dyDescent="0.3">
      <c r="B10" s="3">
        <v>7</v>
      </c>
      <c r="C10" s="4">
        <f t="shared" si="0"/>
        <v>171.38242687795199</v>
      </c>
      <c r="D10" s="4">
        <f t="shared" si="1"/>
        <v>892.28033597439992</v>
      </c>
      <c r="E10" s="5"/>
      <c r="F10" s="10" t="s">
        <v>18</v>
      </c>
      <c r="G10">
        <f>(60/G4)*(($H$3*K4)+($I$3*J4))</f>
        <v>660</v>
      </c>
    </row>
    <row r="11" spans="2:11" x14ac:dyDescent="0.3">
      <c r="B11" s="3">
        <v>8</v>
      </c>
      <c r="C11" s="4">
        <f t="shared" si="0"/>
        <v>185.09302102818813</v>
      </c>
      <c r="D11" s="4">
        <f t="shared" si="1"/>
        <v>1063.662762852352</v>
      </c>
      <c r="E11" s="5"/>
      <c r="F11" s="10" t="s">
        <v>19</v>
      </c>
      <c r="G11">
        <f>(60/G5)*(($H$3*K5)+($I$3*J5))</f>
        <v>210</v>
      </c>
    </row>
    <row r="12" spans="2:11" x14ac:dyDescent="0.3">
      <c r="B12" s="3">
        <v>9</v>
      </c>
      <c r="C12" s="4">
        <f t="shared" si="0"/>
        <v>199.90046271044318</v>
      </c>
      <c r="D12" s="4">
        <f t="shared" si="1"/>
        <v>1248.7557838805401</v>
      </c>
      <c r="E12" s="5"/>
      <c r="F12" s="10" t="s">
        <v>20</v>
      </c>
      <c r="G12">
        <f t="shared" ref="G12" si="2">(60/G6)*(($H$3*K6)+($I$3*J6))</f>
        <v>0</v>
      </c>
    </row>
    <row r="13" spans="2:11" x14ac:dyDescent="0.3">
      <c r="B13" s="3">
        <v>10</v>
      </c>
      <c r="C13" s="4">
        <f t="shared" si="0"/>
        <v>215.89249972727865</v>
      </c>
      <c r="D13" s="4">
        <f t="shared" si="1"/>
        <v>1448.6562465909833</v>
      </c>
      <c r="E13" s="5"/>
      <c r="F13" s="10" t="s">
        <v>21</v>
      </c>
      <c r="G13">
        <f t="shared" ref="G13" si="3">(60/G7)*((H7*K7)+(I7*J7))</f>
        <v>0</v>
      </c>
    </row>
    <row r="14" spans="2:11" x14ac:dyDescent="0.3">
      <c r="B14" s="3">
        <v>11</v>
      </c>
      <c r="C14" s="4">
        <f t="shared" si="0"/>
        <v>233.16389970546095</v>
      </c>
      <c r="D14" s="4">
        <f t="shared" si="1"/>
        <v>1664.5487463182619</v>
      </c>
      <c r="E14" s="5"/>
      <c r="F14" s="10" t="s">
        <v>22</v>
      </c>
      <c r="G14">
        <f t="shared" ref="G14" si="4">(60/G8)*(($H$3*K8)+($I$3*J8))</f>
        <v>0</v>
      </c>
    </row>
    <row r="15" spans="2:11" x14ac:dyDescent="0.3">
      <c r="B15" s="3">
        <v>12</v>
      </c>
      <c r="C15" s="4">
        <f t="shared" si="0"/>
        <v>251.81701168189784</v>
      </c>
      <c r="D15" s="4">
        <f t="shared" si="1"/>
        <v>1897.7126460237228</v>
      </c>
      <c r="E15" s="5"/>
      <c r="F15" s="10" t="s">
        <v>16</v>
      </c>
      <c r="G15">
        <f>SUM(G9:G14)</f>
        <v>1020</v>
      </c>
    </row>
    <row r="16" spans="2:11" x14ac:dyDescent="0.3">
      <c r="B16" s="3">
        <v>13</v>
      </c>
      <c r="C16" s="4">
        <f t="shared" si="0"/>
        <v>271.96237261644967</v>
      </c>
      <c r="D16" s="4">
        <f t="shared" si="1"/>
        <v>2149.5296577056206</v>
      </c>
      <c r="E16" s="5"/>
      <c r="F16" s="10" t="s">
        <v>23</v>
      </c>
      <c r="G16">
        <f>5*G15</f>
        <v>5100</v>
      </c>
    </row>
    <row r="17" spans="2:11" x14ac:dyDescent="0.3">
      <c r="B17" s="3">
        <v>14</v>
      </c>
      <c r="C17" s="4">
        <f t="shared" si="0"/>
        <v>293.71936242576567</v>
      </c>
      <c r="D17" s="4">
        <f t="shared" si="1"/>
        <v>2421.4920303220701</v>
      </c>
      <c r="E17" s="5"/>
      <c r="G17" s="11"/>
    </row>
    <row r="18" spans="2:11" x14ac:dyDescent="0.3">
      <c r="B18" s="3">
        <v>15</v>
      </c>
      <c r="C18" s="4">
        <f t="shared" si="0"/>
        <v>317.21691141982694</v>
      </c>
      <c r="D18" s="4">
        <f t="shared" si="1"/>
        <v>2715.2113927478358</v>
      </c>
      <c r="E18" s="5"/>
      <c r="I18" t="s">
        <v>29</v>
      </c>
      <c r="J18">
        <v>10</v>
      </c>
      <c r="K18">
        <f>60/J18</f>
        <v>6</v>
      </c>
    </row>
    <row r="19" spans="2:11" x14ac:dyDescent="0.3">
      <c r="B19" s="3">
        <v>16</v>
      </c>
      <c r="C19" s="4">
        <f t="shared" si="0"/>
        <v>342.59426433341309</v>
      </c>
      <c r="D19" s="4">
        <f t="shared" si="1"/>
        <v>3032.4283041676626</v>
      </c>
      <c r="E19" s="5"/>
      <c r="F19" t="s">
        <v>30</v>
      </c>
      <c r="G19" s="12">
        <v>0.1</v>
      </c>
      <c r="H19" s="12">
        <v>0.01</v>
      </c>
      <c r="I19" s="12">
        <v>0.05</v>
      </c>
      <c r="J19" s="13">
        <v>5.0000000000000001E-3</v>
      </c>
    </row>
    <row r="20" spans="2:11" x14ac:dyDescent="0.3">
      <c r="B20" s="3">
        <v>17</v>
      </c>
      <c r="C20" s="4">
        <f t="shared" si="0"/>
        <v>370.00180548008615</v>
      </c>
      <c r="D20" s="4">
        <f t="shared" si="1"/>
        <v>3375.0225685010755</v>
      </c>
      <c r="E20" s="5"/>
      <c r="F20" t="s">
        <v>28</v>
      </c>
      <c r="G20" t="s">
        <v>24</v>
      </c>
      <c r="H20" t="s">
        <v>25</v>
      </c>
      <c r="I20" t="s">
        <v>26</v>
      </c>
      <c r="J20" t="s">
        <v>27</v>
      </c>
    </row>
    <row r="21" spans="2:11" x14ac:dyDescent="0.3">
      <c r="B21" s="3">
        <v>18</v>
      </c>
      <c r="C21" s="4">
        <f t="shared" si="0"/>
        <v>399.60194991849306</v>
      </c>
      <c r="D21" s="4">
        <f t="shared" si="1"/>
        <v>3745.0243739811617</v>
      </c>
      <c r="E21" s="5"/>
      <c r="G21">
        <v>5</v>
      </c>
      <c r="H21">
        <v>2.7</v>
      </c>
      <c r="I21">
        <v>5</v>
      </c>
      <c r="J21">
        <v>1</v>
      </c>
    </row>
    <row r="22" spans="2:11" x14ac:dyDescent="0.3">
      <c r="B22" s="3">
        <v>19</v>
      </c>
      <c r="C22" s="4">
        <f t="shared" si="0"/>
        <v>431.57010591197252</v>
      </c>
      <c r="D22" s="4">
        <f t="shared" si="1"/>
        <v>4144.6263238996544</v>
      </c>
      <c r="E22" s="5"/>
      <c r="F22">
        <v>1</v>
      </c>
      <c r="G22">
        <f t="shared" ref="G22:G35" si="5">G21+($G$21*$G$19)*$K$18</f>
        <v>8</v>
      </c>
      <c r="H22">
        <f>H21+($H$21*$H$19)*$K$18</f>
        <v>2.8620000000000001</v>
      </c>
      <c r="I22">
        <f>I21+($I$21*$I$19)*$K$18</f>
        <v>6.5</v>
      </c>
      <c r="J22">
        <f>J21-($J$21*$J$19)*$K$18</f>
        <v>0.97</v>
      </c>
    </row>
    <row r="23" spans="2:11" x14ac:dyDescent="0.3">
      <c r="B23" s="3">
        <v>20</v>
      </c>
      <c r="C23" s="4">
        <f t="shared" si="0"/>
        <v>466.09571438493032</v>
      </c>
      <c r="D23" s="4">
        <f t="shared" si="1"/>
        <v>4576.1964298116272</v>
      </c>
      <c r="E23" s="5"/>
      <c r="F23">
        <v>2</v>
      </c>
      <c r="G23">
        <f t="shared" si="5"/>
        <v>11</v>
      </c>
      <c r="H23">
        <f>H22+($H$21*$H$19)*$K$18</f>
        <v>3.024</v>
      </c>
      <c r="I23">
        <f t="shared" ref="I23:I35" si="6">I22+($I$21*$I$19)*$K$18</f>
        <v>8</v>
      </c>
      <c r="J23">
        <f t="shared" ref="J23:J35" si="7">J22-($J$21*$J$19)*$K$18</f>
        <v>0.94</v>
      </c>
    </row>
    <row r="24" spans="2:11" x14ac:dyDescent="0.3">
      <c r="B24" s="3">
        <v>21</v>
      </c>
      <c r="C24" s="4">
        <f t="shared" si="0"/>
        <v>503.38337153572473</v>
      </c>
      <c r="D24" s="4">
        <f t="shared" si="1"/>
        <v>5042.2921441965573</v>
      </c>
      <c r="E24" s="5"/>
      <c r="F24">
        <v>3</v>
      </c>
      <c r="G24">
        <f t="shared" si="5"/>
        <v>14</v>
      </c>
      <c r="H24">
        <f t="shared" ref="H24:H34" si="8">H23+($H$21*$H$19)*$K$18</f>
        <v>3.1859999999999999</v>
      </c>
      <c r="I24">
        <f t="shared" si="6"/>
        <v>9.5</v>
      </c>
      <c r="J24">
        <f t="shared" si="7"/>
        <v>0.90999999999999992</v>
      </c>
    </row>
    <row r="25" spans="2:11" x14ac:dyDescent="0.3">
      <c r="B25" s="3">
        <v>22</v>
      </c>
      <c r="C25" s="4">
        <f t="shared" si="0"/>
        <v>543.65404125858277</v>
      </c>
      <c r="D25" s="4">
        <f t="shared" si="1"/>
        <v>5545.6755157322823</v>
      </c>
      <c r="E25" s="5"/>
      <c r="F25">
        <v>4</v>
      </c>
      <c r="G25">
        <f t="shared" si="5"/>
        <v>17</v>
      </c>
      <c r="H25">
        <f t="shared" si="8"/>
        <v>3.3479999999999999</v>
      </c>
      <c r="I25">
        <f t="shared" si="6"/>
        <v>11</v>
      </c>
      <c r="J25">
        <f t="shared" si="7"/>
        <v>0.87999999999999989</v>
      </c>
    </row>
    <row r="26" spans="2:11" x14ac:dyDescent="0.3">
      <c r="B26" s="3">
        <v>23</v>
      </c>
      <c r="C26" s="4">
        <f t="shared" si="0"/>
        <v>587.14636455926939</v>
      </c>
      <c r="D26" s="4">
        <f t="shared" si="1"/>
        <v>6089.3295569908651</v>
      </c>
      <c r="E26" s="5"/>
      <c r="F26">
        <v>5</v>
      </c>
      <c r="G26">
        <f t="shared" si="5"/>
        <v>20</v>
      </c>
      <c r="H26">
        <f t="shared" si="8"/>
        <v>3.51</v>
      </c>
      <c r="I26">
        <f t="shared" si="6"/>
        <v>12.5</v>
      </c>
      <c r="J26">
        <f t="shared" si="7"/>
        <v>0.84999999999999987</v>
      </c>
    </row>
    <row r="27" spans="2:11" x14ac:dyDescent="0.3">
      <c r="B27" s="3">
        <v>24</v>
      </c>
      <c r="C27" s="4">
        <f t="shared" si="0"/>
        <v>634.11807372401097</v>
      </c>
      <c r="D27" s="4">
        <f t="shared" si="1"/>
        <v>6676.4759215501344</v>
      </c>
      <c r="E27" s="5"/>
      <c r="F27">
        <v>6</v>
      </c>
      <c r="G27">
        <f t="shared" si="5"/>
        <v>23</v>
      </c>
      <c r="H27">
        <f t="shared" si="8"/>
        <v>3.6719999999999997</v>
      </c>
      <c r="I27">
        <f t="shared" si="6"/>
        <v>14</v>
      </c>
      <c r="J27">
        <f t="shared" si="7"/>
        <v>0.81999999999999984</v>
      </c>
    </row>
    <row r="28" spans="2:11" x14ac:dyDescent="0.3">
      <c r="B28" s="3">
        <v>25</v>
      </c>
      <c r="C28" s="4">
        <f t="shared" si="0"/>
        <v>684.84751962193184</v>
      </c>
      <c r="D28" s="4">
        <f t="shared" si="1"/>
        <v>7310.5939952741455</v>
      </c>
      <c r="E28" s="5"/>
      <c r="F28">
        <v>7</v>
      </c>
      <c r="G28">
        <f t="shared" si="5"/>
        <v>26</v>
      </c>
      <c r="H28">
        <f t="shared" si="8"/>
        <v>3.8339999999999996</v>
      </c>
      <c r="I28">
        <f t="shared" si="6"/>
        <v>15.5</v>
      </c>
      <c r="J28">
        <f t="shared" si="7"/>
        <v>0.78999999999999981</v>
      </c>
    </row>
    <row r="29" spans="2:11" x14ac:dyDescent="0.3">
      <c r="B29" s="3">
        <v>26</v>
      </c>
      <c r="C29" s="4">
        <f t="shared" si="0"/>
        <v>739.63532119168644</v>
      </c>
      <c r="D29" s="4">
        <f t="shared" si="1"/>
        <v>7995.441514896077</v>
      </c>
      <c r="E29" s="5"/>
      <c r="F29">
        <v>8</v>
      </c>
      <c r="G29">
        <f t="shared" si="5"/>
        <v>29</v>
      </c>
      <c r="H29">
        <f t="shared" si="8"/>
        <v>3.9959999999999996</v>
      </c>
      <c r="I29">
        <f t="shared" si="6"/>
        <v>17</v>
      </c>
      <c r="J29">
        <f t="shared" si="7"/>
        <v>0.75999999999999979</v>
      </c>
    </row>
    <row r="30" spans="2:11" x14ac:dyDescent="0.3">
      <c r="B30" s="3">
        <v>27</v>
      </c>
      <c r="C30" s="4">
        <f t="shared" si="0"/>
        <v>798.80614688702133</v>
      </c>
      <c r="D30" s="4">
        <f t="shared" si="1"/>
        <v>8735.0768360877628</v>
      </c>
      <c r="E30" s="5"/>
      <c r="F30">
        <v>9</v>
      </c>
      <c r="G30">
        <f t="shared" si="5"/>
        <v>32</v>
      </c>
      <c r="H30">
        <f t="shared" si="8"/>
        <v>4.1579999999999995</v>
      </c>
      <c r="I30">
        <f t="shared" si="6"/>
        <v>18.5</v>
      </c>
      <c r="J30">
        <f t="shared" si="7"/>
        <v>0.72999999999999976</v>
      </c>
    </row>
    <row r="31" spans="2:11" x14ac:dyDescent="0.3">
      <c r="B31" s="3">
        <v>28</v>
      </c>
      <c r="C31" s="4">
        <f t="shared" si="0"/>
        <v>862.71063863798304</v>
      </c>
      <c r="D31" s="4">
        <f t="shared" si="1"/>
        <v>9533.8829829747847</v>
      </c>
      <c r="E31" s="5"/>
    </row>
    <row r="32" spans="2:11" x14ac:dyDescent="0.3">
      <c r="B32" s="3">
        <v>29</v>
      </c>
      <c r="C32" s="4">
        <f t="shared" si="0"/>
        <v>931.72748972902173</v>
      </c>
      <c r="D32" s="4">
        <f t="shared" si="1"/>
        <v>10396.593621612768</v>
      </c>
      <c r="E32" s="5"/>
    </row>
    <row r="33" spans="2:5" x14ac:dyDescent="0.3">
      <c r="B33" s="3">
        <v>30</v>
      </c>
      <c r="C33" s="4">
        <f t="shared" si="0"/>
        <v>1006.2656889073435</v>
      </c>
      <c r="D33" s="4">
        <f t="shared" si="1"/>
        <v>11328.321111341789</v>
      </c>
      <c r="E33" s="5"/>
    </row>
    <row r="34" spans="2:5" x14ac:dyDescent="0.3">
      <c r="B34" s="3">
        <v>31</v>
      </c>
      <c r="C34" s="4">
        <f t="shared" si="0"/>
        <v>1086.7669440199309</v>
      </c>
      <c r="D34" s="4">
        <f t="shared" si="1"/>
        <v>12334.586800249133</v>
      </c>
      <c r="E34" s="5"/>
    </row>
    <row r="35" spans="2:5" x14ac:dyDescent="0.3">
      <c r="B35" s="3">
        <v>32</v>
      </c>
      <c r="C35" s="4">
        <f t="shared" si="0"/>
        <v>1173.7082995415253</v>
      </c>
      <c r="D35" s="4">
        <f t="shared" si="1"/>
        <v>13421.353744269065</v>
      </c>
      <c r="E35" s="5"/>
    </row>
    <row r="36" spans="2:5" x14ac:dyDescent="0.3">
      <c r="B36" s="3">
        <v>33</v>
      </c>
      <c r="C36" s="4">
        <f t="shared" si="0"/>
        <v>1267.6049635048473</v>
      </c>
      <c r="D36" s="4">
        <f t="shared" si="1"/>
        <v>14595.062043810591</v>
      </c>
      <c r="E36" s="5"/>
    </row>
    <row r="37" spans="2:5" x14ac:dyDescent="0.3">
      <c r="B37" s="3">
        <v>34</v>
      </c>
      <c r="C37" s="4">
        <f t="shared" si="0"/>
        <v>1369.0133605852352</v>
      </c>
      <c r="D37" s="4">
        <f t="shared" si="1"/>
        <v>15862.667007315438</v>
      </c>
      <c r="E37" s="5"/>
    </row>
    <row r="38" spans="2:5" x14ac:dyDescent="0.3">
      <c r="B38" s="3">
        <v>35</v>
      </c>
      <c r="C38" s="4">
        <f t="shared" si="0"/>
        <v>1478.5344294320539</v>
      </c>
      <c r="D38" s="4">
        <f t="shared" si="1"/>
        <v>17231.680367900673</v>
      </c>
      <c r="E38" s="5"/>
    </row>
    <row r="39" spans="2:5" x14ac:dyDescent="0.3">
      <c r="B39" s="3">
        <v>36</v>
      </c>
      <c r="C39" s="4">
        <f t="shared" si="0"/>
        <v>1596.8171837866182</v>
      </c>
      <c r="D39" s="4">
        <f t="shared" si="1"/>
        <v>18710.214797332726</v>
      </c>
      <c r="E39" s="5"/>
    </row>
    <row r="40" spans="2:5" x14ac:dyDescent="0.3">
      <c r="B40" s="3">
        <v>37</v>
      </c>
      <c r="C40" s="4">
        <f t="shared" si="0"/>
        <v>1724.5625584895477</v>
      </c>
      <c r="D40" s="4">
        <f t="shared" si="1"/>
        <v>20307.031981119344</v>
      </c>
      <c r="E40" s="5"/>
    </row>
    <row r="41" spans="2:5" x14ac:dyDescent="0.3">
      <c r="B41" s="3">
        <v>38</v>
      </c>
      <c r="C41" s="4">
        <f t="shared" si="0"/>
        <v>1862.5275631687114</v>
      </c>
      <c r="D41" s="4">
        <f t="shared" si="1"/>
        <v>22031.59453960889</v>
      </c>
      <c r="E41" s="5"/>
    </row>
    <row r="42" spans="2:5" ht="15" thickBot="1" x14ac:dyDescent="0.35">
      <c r="B42" s="3">
        <v>39</v>
      </c>
      <c r="C42" s="4">
        <f t="shared" si="0"/>
        <v>2011.5297682222083</v>
      </c>
      <c r="D42" s="4">
        <f t="shared" si="1"/>
        <v>23894.122102777601</v>
      </c>
      <c r="E42" s="8"/>
    </row>
    <row r="43" spans="2:5" ht="15" thickBot="1" x14ac:dyDescent="0.35">
      <c r="B43" s="7">
        <v>40</v>
      </c>
      <c r="C43" s="4">
        <f t="shared" si="0"/>
        <v>2172.4521496799848</v>
      </c>
      <c r="D43" s="4">
        <f t="shared" si="1"/>
        <v>25905.651870999809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 Davidovich</dc:creator>
  <cp:lastModifiedBy>Ilia Davidovich</cp:lastModifiedBy>
  <dcterms:created xsi:type="dcterms:W3CDTF">2015-06-05T18:19:34Z</dcterms:created>
  <dcterms:modified xsi:type="dcterms:W3CDTF">2024-07-04T14:23:31Z</dcterms:modified>
</cp:coreProperties>
</file>